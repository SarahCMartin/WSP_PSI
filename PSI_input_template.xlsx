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USM504495\Documents\PS217189-Inpex Bonaparte Working\PSI Review\"/>
    </mc:Choice>
  </mc:AlternateContent>
  <xr:revisionPtr revIDLastSave="0" documentId="13_ncr:1_{0E46996D-F9E4-4F66-9EA1-BA7C949F93C6}" xr6:coauthVersionLast="47" xr6:coauthVersionMax="47" xr10:uidLastSave="{00000000-0000-0000-0000-000000000000}"/>
  <bookViews>
    <workbookView xWindow="-28635" yWindow="3885" windowWidth="21600" windowHeight="11295" activeTab="1" xr2:uid="{1D4F1EAD-D63C-4463-81B7-10D96C3C5F00}"/>
  </bookViews>
  <sheets>
    <sheet name="Intro" sheetId="1" r:id="rId1"/>
    <sheet name="Inputs" sheetId="2" r:id="rId2"/>
    <sheet name="Correlation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7" i="2" l="1"/>
  <c r="B37" i="2"/>
  <c r="C37" i="2" s="1"/>
  <c r="D36" i="2"/>
  <c r="B36" i="2"/>
  <c r="C36" i="2" s="1"/>
  <c r="D35" i="2"/>
  <c r="B35" i="2"/>
  <c r="C35" i="2" s="1"/>
  <c r="C34" i="2"/>
  <c r="D34" i="2"/>
  <c r="C33" i="2"/>
  <c r="D33" i="2" s="1"/>
  <c r="C29" i="2"/>
  <c r="D29" i="2"/>
  <c r="C30" i="2"/>
  <c r="D30" i="2"/>
  <c r="C31" i="2"/>
  <c r="D31" i="2"/>
  <c r="C27" i="2"/>
  <c r="D27" i="2" s="1"/>
  <c r="B28" i="2"/>
  <c r="C28" i="2" s="1"/>
  <c r="D28" i="2" s="1"/>
  <c r="D20" i="3" l="1"/>
  <c r="D15" i="3" l="1"/>
  <c r="D14" i="3"/>
  <c r="D2" i="3" l="1"/>
  <c r="D3" i="3"/>
  <c r="D4" i="3"/>
  <c r="D5" i="3"/>
  <c r="D6" i="3"/>
  <c r="D7" i="3"/>
  <c r="D8" i="3"/>
  <c r="D9" i="3"/>
  <c r="D10" i="3"/>
  <c r="D11" i="3"/>
  <c r="D12" i="3"/>
  <c r="D13" i="3"/>
  <c r="D17" i="3"/>
  <c r="D18" i="3"/>
  <c r="D19" i="3"/>
  <c r="D21" i="3"/>
  <c r="D22" i="3"/>
  <c r="D23" i="3"/>
  <c r="D24" i="3"/>
  <c r="D26" i="3"/>
  <c r="D27" i="3"/>
  <c r="D28" i="3"/>
  <c r="A3" i="3"/>
  <c r="A4" i="3"/>
  <c r="A5" i="3"/>
  <c r="A6" i="3"/>
  <c r="A7" i="3"/>
  <c r="A8" i="3"/>
  <c r="A9" i="3"/>
  <c r="A10" i="3"/>
  <c r="A11" i="3"/>
  <c r="A12" i="3"/>
  <c r="A13" i="3"/>
  <c r="A14" i="3"/>
  <c r="A15" i="3"/>
  <c r="A16" i="3"/>
  <c r="A17" i="3"/>
  <c r="A18" i="3"/>
  <c r="A19" i="3"/>
  <c r="A20" i="3"/>
  <c r="A21" i="3"/>
  <c r="A22" i="3"/>
  <c r="A23" i="3"/>
  <c r="A24" i="3"/>
  <c r="A26" i="3"/>
  <c r="A27" i="3"/>
  <c r="A28" i="3"/>
  <c r="A2" i="3"/>
</calcChain>
</file>

<file path=xl/sharedStrings.xml><?xml version="1.0" encoding="utf-8"?>
<sst xmlns="http://schemas.openxmlformats.org/spreadsheetml/2006/main" count="183" uniqueCount="131">
  <si>
    <t>Input File for Pipe-Soil Interaction Analysis</t>
  </si>
  <si>
    <t>Instructions</t>
  </si>
  <si>
    <t>3. Populate 'Input' tab of this file</t>
  </si>
  <si>
    <t>2. Save this file and code in the same location on your computer named PSI_Inputs</t>
  </si>
  <si>
    <t>Emb_aslaid_model</t>
  </si>
  <si>
    <t>Emb_hydro_model</t>
  </si>
  <si>
    <t>Lat_brk_model</t>
  </si>
  <si>
    <t>Lat_brk_suction</t>
  </si>
  <si>
    <t>Lat_res_model</t>
  </si>
  <si>
    <t>Ax_model</t>
  </si>
  <si>
    <t>No_cycles</t>
  </si>
  <si>
    <t>No_rolls</t>
  </si>
  <si>
    <t>% number of sets of parameters to run PSI for, generally referred to as 'dice rolls'</t>
  </si>
  <si>
    <t>% undrained: DNVGL-RP-F114 Model 1 = 0, DNVGL-RP-F114 Model 2/SAFEBUCK = 1, drained: DNVGL-RP-F114 = 10</t>
  </si>
  <si>
    <t>% as above</t>
  </si>
  <si>
    <t>% switch for suction at rear of pipe, not allowing = 0, allowing = 1 (relevant for lateral breakout undrained DNVGL-RP-F114 Model 1)</t>
  </si>
  <si>
    <t>% undrained: SAFEBUCK with rate effects from DNVGL-RP-F114 = 0 (SAFEBUCK chosen over DNV as it directly uses interface strength profile rather than applying alpha factor for roughness and epsilon factor for partial remoulding, but otherwise calculation is the same), drained: DNVGL-RP-F114/SAFEBUCK = 10</t>
  </si>
  <si>
    <t>% number of cycles to model for lateral cyclic resistance calculations</t>
  </si>
  <si>
    <t>BE (Mean)</t>
  </si>
  <si>
    <t>D</t>
  </si>
  <si>
    <t>W_empty</t>
  </si>
  <si>
    <t>W_hydro</t>
  </si>
  <si>
    <t>W_op</t>
  </si>
  <si>
    <t>alpha</t>
  </si>
  <si>
    <t>T0</t>
  </si>
  <si>
    <t>t_aslaid</t>
  </si>
  <si>
    <t>t_hydro</t>
  </si>
  <si>
    <t>t_preop</t>
  </si>
  <si>
    <t>Distribution to Fit</t>
  </si>
  <si>
    <t>Normal</t>
  </si>
  <si>
    <t>Direct Inputs (No. Monte Carlo 'dice rolls' and Model Selection)</t>
  </si>
  <si>
    <t>Inputs Requiring Probabalistic Distribution Fitting (Pipe, Soil and Interface Parameters)</t>
  </si>
  <si>
    <t>% submerged weight of empty pipe per unit length (kN/m)</t>
  </si>
  <si>
    <t>% submerged weight of flooded pipe during hydrotest per unit length (kN/m)</t>
  </si>
  <si>
    <t>% submerged weight of operating pipe per unit length (kN/m)</t>
  </si>
  <si>
    <t>% pipe-soil interface adhesion coefficient, fully smooth = 0 and fully rough = 1</t>
  </si>
  <si>
    <t>% time between pipe lay and hydrotest (years)</t>
  </si>
  <si>
    <t>% time to complete hydrotest plus time pipe is left flooded between hydrotest and operation (years)</t>
  </si>
  <si>
    <t>% time pipe is left empty between hydrotest and operation (years)</t>
  </si>
  <si>
    <t>su_profile</t>
  </si>
  <si>
    <t>su_mudline</t>
  </si>
  <si>
    <t>z_su_inv</t>
  </si>
  <si>
    <t>su_inv</t>
  </si>
  <si>
    <t>gamma_sub</t>
  </si>
  <si>
    <t>pipelay_St</t>
  </si>
  <si>
    <t>lateral_St</t>
  </si>
  <si>
    <t>cv</t>
  </si>
  <si>
    <t>SHANSEP_S</t>
  </si>
  <si>
    <t>SHANSEP_m</t>
  </si>
  <si>
    <t>ka</t>
  </si>
  <si>
    <t>kp</t>
  </si>
  <si>
    <t>phi</t>
  </si>
  <si>
    <t>int_SHANSEP_S</t>
  </si>
  <si>
    <t>int_SHANSEP_m</t>
  </si>
  <si>
    <t>% soil-soil: only considering the top 1m, linear profile = 0, bi-linear profile = 1</t>
  </si>
  <si>
    <t>% soil-soil: undrained shear strength at mudline (kPa)</t>
  </si>
  <si>
    <t>% soil-soil: undrained shear strength at inversion point for a bi-linear profile, z_su_inv (kPa)</t>
  </si>
  <si>
    <t>% soil-soil: increase in undrained shear strength with depth (kPa/m), below inversion for a bi-linear profile</t>
  </si>
  <si>
    <t>% submerged unit weight of soil (kN/m3)</t>
  </si>
  <si>
    <t>% soil-soil: sensitivity factor for pipe lay, adjusted as part of calibration with other pipes in the area so may not correspond to standard soil sensitivity</t>
  </si>
  <si>
    <t>% soil-soil: SHANSEP exponent, found from best fit between CPT and oedometer tests</t>
  </si>
  <si>
    <t>% soil-soil: pressure resistance coefficients (note not earth pressure coefficient Ka), 2 &lt;= ka &lt;= 2.5 from DNVGL-RP-F114 Section 4.4.2.2</t>
  </si>
  <si>
    <t>% soil-soil: pressure resistance coefficients (note not earth pressure coefficient Kp), 2 &lt;= kp &lt;= 2.5 from DNVGL-RP-F114 Section 4.4.2.2</t>
  </si>
  <si>
    <t>% soil-soil: friction angle (deg)</t>
  </si>
  <si>
    <t xml:space="preserve">% soil-soil: depth for inversion point for a bi-linear undrained shear strength profile (m) (can be left blank if linear profile selected) </t>
  </si>
  <si>
    <t>delta_su</t>
  </si>
  <si>
    <t>Log-normal</t>
  </si>
  <si>
    <t>Uniform</t>
  </si>
  <si>
    <t>t</t>
  </si>
  <si>
    <t>% pipe wall thickness (m)</t>
  </si>
  <si>
    <t>% pipe diameter (m)</t>
  </si>
  <si>
    <t>LE (5%, or min when using Uniform distribution)</t>
  </si>
  <si>
    <t>HE (95%, or max when using Uniform distribution)</t>
  </si>
  <si>
    <t>Weibull</t>
  </si>
  <si>
    <t>The following distribtuons are available for curve fitting:</t>
  </si>
  <si>
    <t>Gamma</t>
  </si>
  <si>
    <t>Rayleigh</t>
  </si>
  <si>
    <t>Output_dist</t>
  </si>
  <si>
    <t>% distribution for fitting output parameters (chosen from dropdown as for inputs excl. uniform distribution; normal distribution used where chosen fitting unsuccessful for a given parameter)</t>
  </si>
  <si>
    <t>% bottom lay tension (kN)</t>
  </si>
  <si>
    <t>Lat_res_suction</t>
  </si>
  <si>
    <t>Emb_res_model</t>
  </si>
  <si>
    <t>% switch for suction at rear of pipe, not allowing = 0, allowing = 1 (relevant for lateral residual undrained modified method)</t>
  </si>
  <si>
    <t>delta</t>
  </si>
  <si>
    <t>% soil-pipe interface: SHANSEP exponent</t>
  </si>
  <si>
    <t>Parameter</t>
  </si>
  <si>
    <t>EI</t>
  </si>
  <si>
    <t>% pipe bending stiffness (kNm2)</t>
  </si>
  <si>
    <t>Automated Fit</t>
  </si>
  <si>
    <t>Min Value</t>
  </si>
  <si>
    <t>Correlation Index</t>
  </si>
  <si>
    <t>Strongly Positive</t>
  </si>
  <si>
    <t>Weakly Negative</t>
  </si>
  <si>
    <t>Correlation Type</t>
  </si>
  <si>
    <t>Base Variable</t>
  </si>
  <si>
    <t>4. Open Python file 'PSI_montecarlo' and press run</t>
  </si>
  <si>
    <t>1. Download code from GitHub</t>
  </si>
  <si>
    <t>% undrained: modified DNV = 0, DNVGL-RP-F114/SAFEBUCK = 1, Generalised FE Envelope = 2; drained: DNVGL-RP-F114 Model 1 = 10, DNVGL-RP-F114 Model 2/SAFEBUCK = 11</t>
  </si>
  <si>
    <t>% undrained: DNVGL-RP-F114 Model 1 = 0, DNVGL-RP-F114 Model 2/SAFEBUCK = 1, Generalised FE Envelope = 2; drained: DNVGL-RP-F114 Model 1 = 10, DNVGL-RP-F114 Model 2/SAFEBUCK = 11</t>
  </si>
  <si>
    <t>% undrained: Embeding into Undisturbed Material DNVGL-RP-F114 Model 1 = 0, Embeding into Undisturbed Material DNVGL-RP-F114 Model 2/SAFEBUCK = 1, Horizontal Point on Generalised FE Envelope = 2; drained: Embeding into Undisturbed Material DNVGL-RP-F114 = 10</t>
  </si>
  <si>
    <t>Lat_brk_weighting</t>
  </si>
  <si>
    <t>Lat_res_weighting</t>
  </si>
  <si>
    <t>Model_fct</t>
  </si>
  <si>
    <t>% factor applied to all results to arbitrarily account for additional uncertainty by increaisng the bounds; applied linearly for each result where min/1.2 and max*1.2; MEAN WILL BE AFFECTED UNLESS IT IS HALF-WAY BETWEEN MIN AND MAX IN MAGNITUDE</t>
  </si>
  <si>
    <t>N50</t>
  </si>
  <si>
    <t>% number of cycles for 50% transition between UD and D; Yan et al. 2014 examples approx. N50 = 2 (N95 = 5) and N50 = 4 (N95 = 18); more examples shown in excel 'Cyclic Curves from Yan 2014'</t>
  </si>
  <si>
    <t>Cyc_model</t>
  </si>
  <si>
    <t>% SAFEBUCK UD Lateral = 0 (not included in DNVGL-RP-F114, no axial option included); White &amp; Cheuk 2008 = 1;  Internal method transitioning from UD to D = 2</t>
  </si>
  <si>
    <r>
      <t xml:space="preserve">% soil-soil: normalised shear strength for NC condition, </t>
    </r>
    <r>
      <rPr>
        <b/>
        <sz val="11"/>
        <color theme="1"/>
        <rFont val="Calibri"/>
        <family val="2"/>
        <scheme val="minor"/>
      </rPr>
      <t>from NGI tables bounding lat-ax, ly-hydro-op options for LE and HE and avg. for BE</t>
    </r>
  </si>
  <si>
    <t>pipelay_Fct</t>
  </si>
  <si>
    <t>% soil-soil: factor applied to phi to account for dynamic effects during pipelay, similar to pipelay_St for undrained</t>
  </si>
  <si>
    <t>% soil-soil: sensitivity factor for lateral breakout relating to the soil in the active and passive failure zones on either side of the embedded pipe</t>
  </si>
  <si>
    <t>% soil-soil: coefficient of consolidation (m2/year)</t>
  </si>
  <si>
    <t>% soil-pipe interface: friction angle (deg)</t>
  </si>
  <si>
    <t>% soil-pipe interface: normalised shear strength for NC condition</t>
  </si>
  <si>
    <r>
      <t xml:space="preserve">% Min and Max weighting applied to Generalised FE Lat_brk result if used in conjunction with another Lat_brk Model; applied based on embedment and where accuracy of other models is expected to be lower (min weighting for envelope at z = 0; max at z </t>
    </r>
    <r>
      <rPr>
        <sz val="11"/>
        <color theme="1"/>
        <rFont val="Arial"/>
        <family val="2"/>
      </rPr>
      <t>≥</t>
    </r>
    <r>
      <rPr>
        <sz val="11"/>
        <color theme="1"/>
        <rFont val="Calibri"/>
        <family val="2"/>
        <scheme val="minor"/>
      </rPr>
      <t xml:space="preserve"> 0.5D)</t>
    </r>
  </si>
  <si>
    <t>% Min and Max weighting applied to Generalised FE Lat_res result if used in conjunction with another Lat_res Model; applied based on embedment and where accuracy of other models is expected to be lower (min weighting for envelope at z = 0; max at z ≥ 0.5D)</t>
  </si>
  <si>
    <t>Berm</t>
  </si>
  <si>
    <t>% switch to account for berm, not including = 0, including = 1</t>
  </si>
  <si>
    <t>Spanning</t>
  </si>
  <si>
    <t>% switch to account for spanning, not including = 0, including = 1</t>
  </si>
  <si>
    <t>eff_emb_ratio</t>
  </si>
  <si>
    <t>% ratio of effective embedment including berm effects to flat-seabed embedment (operational condition, i.e. z_hydro in code)</t>
  </si>
  <si>
    <t>span_ratio</t>
  </si>
  <si>
    <t>% distribution of span ratio from survey results (inherently included in embedment by calibration to survey but needs to be considered for weight and passive effects on lateral FFs)</t>
  </si>
  <si>
    <t>coeff_fenhance</t>
  </si>
  <si>
    <t>% coefficients for second order polynomial fit for f,enhance to span ratio for passive component of DNV lateral breakout (D or UD formulations)</t>
  </si>
  <si>
    <t>Truncated Log-normal</t>
  </si>
  <si>
    <t>Max Value (only available for Truncated Log-normal)</t>
  </si>
  <si>
    <t>TDZ_Wmultiplier</t>
  </si>
  <si>
    <t>% multiplier on TDZ weight for FF calculations post-embedment calc; 1 for free-field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</si>
</sst>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4" x14ac:knownFonts="1">
    <font>
      <sz val="11"/>
      <color theme="1"/>
      <name val="Calibri"/>
      <family val="2"/>
      <scheme val="minor"/>
    </font>
    <font>
      <sz val="11"/>
      <color theme="1"/>
      <name val="Arial"/>
      <family val="2"/>
    </font>
    <font>
      <b/>
      <sz val="11"/>
      <color theme="1"/>
      <name val="Calibri"/>
      <family val="2"/>
      <scheme val="minor"/>
    </font>
    <font>
      <b/>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xf numFmtId="165" fontId="0" fillId="0" borderId="0" xfId="0" applyNumberFormat="1"/>
    <xf numFmtId="0" fontId="3" fillId="0" borderId="0" xfId="0" applyFont="1"/>
    <xf numFmtId="164" fontId="0" fillId="0" borderId="0" xfId="0" applyNumberFormat="1"/>
    <xf numFmtId="2" fontId="0" fillId="0" borderId="0" xfId="0" applyNumberFormat="1"/>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BF9DC-EBD7-4346-9005-237800D8BC75}">
  <dimension ref="A1:A20"/>
  <sheetViews>
    <sheetView workbookViewId="0">
      <selection activeCell="B26" sqref="B26"/>
    </sheetView>
  </sheetViews>
  <sheetFormatPr defaultRowHeight="15" x14ac:dyDescent="0.25"/>
  <sheetData>
    <row r="1" spans="1:1" x14ac:dyDescent="0.25">
      <c r="A1" s="1" t="s">
        <v>0</v>
      </c>
    </row>
    <row r="2" spans="1:1" x14ac:dyDescent="0.25">
      <c r="A2" t="s">
        <v>1</v>
      </c>
    </row>
    <row r="3" spans="1:1" x14ac:dyDescent="0.25">
      <c r="A3" t="s">
        <v>96</v>
      </c>
    </row>
    <row r="4" spans="1:1" x14ac:dyDescent="0.25">
      <c r="A4" t="s">
        <v>3</v>
      </c>
    </row>
    <row r="5" spans="1:1" x14ac:dyDescent="0.25">
      <c r="A5" t="s">
        <v>2</v>
      </c>
    </row>
    <row r="6" spans="1:1" x14ac:dyDescent="0.25">
      <c r="A6" t="s">
        <v>95</v>
      </c>
    </row>
    <row r="12" spans="1:1" x14ac:dyDescent="0.25">
      <c r="A12" t="s">
        <v>74</v>
      </c>
    </row>
    <row r="13" spans="1:1" x14ac:dyDescent="0.25">
      <c r="A13" t="s">
        <v>67</v>
      </c>
    </row>
    <row r="14" spans="1:1" x14ac:dyDescent="0.25">
      <c r="A14" t="s">
        <v>29</v>
      </c>
    </row>
    <row r="15" spans="1:1" x14ac:dyDescent="0.25">
      <c r="A15" t="s">
        <v>66</v>
      </c>
    </row>
    <row r="16" spans="1:1" x14ac:dyDescent="0.25">
      <c r="A16" t="s">
        <v>73</v>
      </c>
    </row>
    <row r="17" spans="1:1" x14ac:dyDescent="0.25">
      <c r="A17" t="s">
        <v>75</v>
      </c>
    </row>
    <row r="18" spans="1:1" x14ac:dyDescent="0.25">
      <c r="A18" t="s">
        <v>76</v>
      </c>
    </row>
    <row r="19" spans="1:1" x14ac:dyDescent="0.25">
      <c r="A19" t="s">
        <v>88</v>
      </c>
    </row>
    <row r="20" spans="1:1" x14ac:dyDescent="0.25">
      <c r="A20" t="s">
        <v>127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463C4-1722-4182-9BE8-8462E138567F}">
  <dimension ref="A1:H55"/>
  <sheetViews>
    <sheetView tabSelected="1" topLeftCell="A22" zoomScale="85" zoomScaleNormal="85" workbookViewId="0">
      <selection activeCell="M28" sqref="M28"/>
    </sheetView>
  </sheetViews>
  <sheetFormatPr defaultRowHeight="15" x14ac:dyDescent="0.25"/>
  <cols>
    <col min="1" max="1" width="22" bestFit="1" customWidth="1"/>
    <col min="2" max="4" width="10" customWidth="1"/>
  </cols>
  <sheetData>
    <row r="1" spans="1:8" x14ac:dyDescent="0.25">
      <c r="A1" s="1" t="s">
        <v>30</v>
      </c>
    </row>
    <row r="2" spans="1:8" x14ac:dyDescent="0.25">
      <c r="A2" t="s">
        <v>11</v>
      </c>
      <c r="B2">
        <v>10000</v>
      </c>
      <c r="H2" t="s">
        <v>12</v>
      </c>
    </row>
    <row r="3" spans="1:8" x14ac:dyDescent="0.25">
      <c r="A3" t="s">
        <v>4</v>
      </c>
      <c r="B3">
        <v>0</v>
      </c>
      <c r="H3" t="s">
        <v>13</v>
      </c>
    </row>
    <row r="4" spans="1:8" x14ac:dyDescent="0.25">
      <c r="A4" t="s">
        <v>5</v>
      </c>
      <c r="B4">
        <v>0</v>
      </c>
      <c r="H4" t="s">
        <v>14</v>
      </c>
    </row>
    <row r="5" spans="1:8" x14ac:dyDescent="0.25">
      <c r="A5" t="s">
        <v>6</v>
      </c>
      <c r="B5">
        <v>0</v>
      </c>
      <c r="C5">
        <v>2</v>
      </c>
      <c r="D5">
        <v>10</v>
      </c>
      <c r="H5" t="s">
        <v>98</v>
      </c>
    </row>
    <row r="6" spans="1:8" x14ac:dyDescent="0.25">
      <c r="A6" t="s">
        <v>7</v>
      </c>
      <c r="B6">
        <v>0</v>
      </c>
      <c r="H6" t="s">
        <v>15</v>
      </c>
    </row>
    <row r="7" spans="1:8" x14ac:dyDescent="0.25">
      <c r="A7" t="s">
        <v>100</v>
      </c>
      <c r="B7">
        <v>60</v>
      </c>
      <c r="C7">
        <v>80</v>
      </c>
      <c r="H7" t="s">
        <v>115</v>
      </c>
    </row>
    <row r="8" spans="1:8" x14ac:dyDescent="0.25">
      <c r="A8" t="s">
        <v>8</v>
      </c>
      <c r="B8">
        <v>0</v>
      </c>
      <c r="C8">
        <v>2</v>
      </c>
      <c r="D8">
        <v>10</v>
      </c>
      <c r="H8" t="s">
        <v>97</v>
      </c>
    </row>
    <row r="9" spans="1:8" x14ac:dyDescent="0.25">
      <c r="A9" t="s">
        <v>80</v>
      </c>
      <c r="B9">
        <v>0</v>
      </c>
      <c r="H9" t="s">
        <v>82</v>
      </c>
    </row>
    <row r="10" spans="1:8" x14ac:dyDescent="0.25">
      <c r="A10" t="s">
        <v>101</v>
      </c>
      <c r="B10">
        <v>60</v>
      </c>
      <c r="C10">
        <v>80</v>
      </c>
      <c r="H10" t="s">
        <v>116</v>
      </c>
    </row>
    <row r="11" spans="1:8" x14ac:dyDescent="0.25">
      <c r="A11" t="s">
        <v>81</v>
      </c>
      <c r="B11">
        <v>2</v>
      </c>
      <c r="H11" t="s">
        <v>99</v>
      </c>
    </row>
    <row r="12" spans="1:8" x14ac:dyDescent="0.25">
      <c r="A12" t="s">
        <v>9</v>
      </c>
      <c r="B12">
        <v>0</v>
      </c>
      <c r="C12">
        <v>10</v>
      </c>
      <c r="H12" t="s">
        <v>16</v>
      </c>
    </row>
    <row r="13" spans="1:8" x14ac:dyDescent="0.25">
      <c r="A13" t="s">
        <v>106</v>
      </c>
      <c r="B13">
        <v>2</v>
      </c>
      <c r="H13" t="s">
        <v>107</v>
      </c>
    </row>
    <row r="14" spans="1:8" x14ac:dyDescent="0.25">
      <c r="A14" t="s">
        <v>10</v>
      </c>
      <c r="B14">
        <v>1</v>
      </c>
      <c r="C14">
        <v>10</v>
      </c>
      <c r="D14">
        <v>100</v>
      </c>
      <c r="H14" t="s">
        <v>17</v>
      </c>
    </row>
    <row r="15" spans="1:8" x14ac:dyDescent="0.25">
      <c r="A15" t="s">
        <v>104</v>
      </c>
      <c r="B15">
        <v>4</v>
      </c>
      <c r="H15" t="s">
        <v>105</v>
      </c>
    </row>
    <row r="16" spans="1:8" x14ac:dyDescent="0.25">
      <c r="A16" t="s">
        <v>39</v>
      </c>
      <c r="B16">
        <v>0</v>
      </c>
      <c r="H16" t="s">
        <v>54</v>
      </c>
    </row>
    <row r="17" spans="1:8" x14ac:dyDescent="0.25">
      <c r="A17" t="s">
        <v>41</v>
      </c>
      <c r="B17">
        <v>0.5</v>
      </c>
      <c r="H17" t="s">
        <v>64</v>
      </c>
    </row>
    <row r="18" spans="1:8" x14ac:dyDescent="0.25">
      <c r="A18" t="s">
        <v>77</v>
      </c>
      <c r="B18" t="s">
        <v>88</v>
      </c>
      <c r="H18" t="s">
        <v>78</v>
      </c>
    </row>
    <row r="19" spans="1:8" x14ac:dyDescent="0.25">
      <c r="A19" t="s">
        <v>102</v>
      </c>
      <c r="B19">
        <v>1.2</v>
      </c>
      <c r="H19" t="s">
        <v>103</v>
      </c>
    </row>
    <row r="20" spans="1:8" x14ac:dyDescent="0.25">
      <c r="A20" t="s">
        <v>117</v>
      </c>
      <c r="B20">
        <v>0</v>
      </c>
      <c r="H20" t="s">
        <v>118</v>
      </c>
    </row>
    <row r="21" spans="1:8" x14ac:dyDescent="0.25">
      <c r="A21" t="s">
        <v>119</v>
      </c>
      <c r="B21">
        <v>0</v>
      </c>
      <c r="H21" t="s">
        <v>120</v>
      </c>
    </row>
    <row r="22" spans="1:8" x14ac:dyDescent="0.25">
      <c r="A22" t="s">
        <v>125</v>
      </c>
      <c r="B22">
        <v>0</v>
      </c>
      <c r="C22">
        <v>0</v>
      </c>
      <c r="D22">
        <v>1</v>
      </c>
      <c r="H22" t="s">
        <v>126</v>
      </c>
    </row>
    <row r="23" spans="1:8" x14ac:dyDescent="0.25">
      <c r="A23" t="s">
        <v>129</v>
      </c>
      <c r="B23">
        <v>1</v>
      </c>
      <c r="H23" t="s">
        <v>130</v>
      </c>
    </row>
    <row r="25" spans="1:8" x14ac:dyDescent="0.25">
      <c r="A25" s="1" t="s">
        <v>31</v>
      </c>
    </row>
    <row r="26" spans="1:8" x14ac:dyDescent="0.25">
      <c r="A26" s="1" t="s">
        <v>85</v>
      </c>
      <c r="B26" s="1" t="s">
        <v>71</v>
      </c>
      <c r="C26" s="1" t="s">
        <v>18</v>
      </c>
      <c r="D26" s="1" t="s">
        <v>72</v>
      </c>
      <c r="E26" s="1" t="s">
        <v>89</v>
      </c>
      <c r="F26" s="1" t="s">
        <v>128</v>
      </c>
      <c r="G26" s="1" t="s">
        <v>28</v>
      </c>
      <c r="H26" s="1"/>
    </row>
    <row r="27" spans="1:8" x14ac:dyDescent="0.25">
      <c r="A27" t="s">
        <v>19</v>
      </c>
      <c r="B27" s="4">
        <v>0.59899999999999998</v>
      </c>
      <c r="C27" s="4">
        <f>B27</f>
        <v>0.59899999999999998</v>
      </c>
      <c r="D27" s="4">
        <f>C27</f>
        <v>0.59899999999999998</v>
      </c>
      <c r="E27" s="4"/>
      <c r="F27" s="4"/>
      <c r="G27" t="s">
        <v>67</v>
      </c>
      <c r="H27" t="s">
        <v>70</v>
      </c>
    </row>
    <row r="28" spans="1:8" x14ac:dyDescent="0.25">
      <c r="A28" t="s">
        <v>68</v>
      </c>
      <c r="B28" s="4">
        <f>0.0214+0.04</f>
        <v>6.1399999999999996E-2</v>
      </c>
      <c r="C28" s="4">
        <f t="shared" ref="C28:D28" si="0">B28</f>
        <v>6.1399999999999996E-2</v>
      </c>
      <c r="D28" s="4">
        <f t="shared" si="0"/>
        <v>6.1399999999999996E-2</v>
      </c>
      <c r="E28" s="4"/>
      <c r="F28" s="4"/>
      <c r="G28" t="s">
        <v>67</v>
      </c>
      <c r="H28" t="s">
        <v>69</v>
      </c>
    </row>
    <row r="29" spans="1:8" x14ac:dyDescent="0.25">
      <c r="A29" t="s">
        <v>20</v>
      </c>
      <c r="B29" s="4">
        <v>1.85</v>
      </c>
      <c r="C29" s="4">
        <f t="shared" ref="C29:D29" si="1">B29</f>
        <v>1.85</v>
      </c>
      <c r="D29" s="4">
        <f t="shared" si="1"/>
        <v>1.85</v>
      </c>
      <c r="E29" s="4"/>
      <c r="F29" s="4"/>
      <c r="G29" t="s">
        <v>67</v>
      </c>
      <c r="H29" t="s">
        <v>32</v>
      </c>
    </row>
    <row r="30" spans="1:8" x14ac:dyDescent="0.25">
      <c r="A30" t="s">
        <v>21</v>
      </c>
      <c r="B30" s="4">
        <v>3.6</v>
      </c>
      <c r="C30" s="4">
        <f t="shared" ref="C30:D30" si="2">B30</f>
        <v>3.6</v>
      </c>
      <c r="D30" s="4">
        <f t="shared" si="2"/>
        <v>3.6</v>
      </c>
      <c r="E30" s="4"/>
      <c r="F30" s="4"/>
      <c r="G30" t="s">
        <v>67</v>
      </c>
      <c r="H30" t="s">
        <v>33</v>
      </c>
    </row>
    <row r="31" spans="1:8" x14ac:dyDescent="0.25">
      <c r="A31" t="s">
        <v>22</v>
      </c>
      <c r="B31" s="4">
        <v>3.06</v>
      </c>
      <c r="C31" s="4">
        <f t="shared" ref="C31:D31" si="3">B31</f>
        <v>3.06</v>
      </c>
      <c r="D31" s="4">
        <f t="shared" si="3"/>
        <v>3.06</v>
      </c>
      <c r="E31" s="4"/>
      <c r="F31" s="4"/>
      <c r="G31" t="s">
        <v>67</v>
      </c>
      <c r="H31" t="s">
        <v>34</v>
      </c>
    </row>
    <row r="32" spans="1:8" x14ac:dyDescent="0.25">
      <c r="A32" t="s">
        <v>23</v>
      </c>
      <c r="B32" s="5">
        <v>0.5</v>
      </c>
      <c r="C32" s="5">
        <v>0.5</v>
      </c>
      <c r="D32" s="5">
        <v>0.5</v>
      </c>
      <c r="E32" s="5"/>
      <c r="F32" s="5"/>
      <c r="G32" t="s">
        <v>67</v>
      </c>
      <c r="H32" t="s">
        <v>35</v>
      </c>
    </row>
    <row r="33" spans="1:8" x14ac:dyDescent="0.25">
      <c r="A33" t="s">
        <v>86</v>
      </c>
      <c r="B33">
        <v>233200</v>
      </c>
      <c r="C33">
        <f>B33</f>
        <v>233200</v>
      </c>
      <c r="D33">
        <f>C33</f>
        <v>233200</v>
      </c>
      <c r="G33" t="s">
        <v>67</v>
      </c>
      <c r="H33" t="s">
        <v>87</v>
      </c>
    </row>
    <row r="34" spans="1:8" x14ac:dyDescent="0.25">
      <c r="A34" t="s">
        <v>24</v>
      </c>
      <c r="B34" s="6">
        <v>250</v>
      </c>
      <c r="C34">
        <f>B34</f>
        <v>250</v>
      </c>
      <c r="D34">
        <f>C34</f>
        <v>250</v>
      </c>
      <c r="G34" t="s">
        <v>67</v>
      </c>
      <c r="H34" t="s">
        <v>79</v>
      </c>
    </row>
    <row r="35" spans="1:8" x14ac:dyDescent="0.25">
      <c r="A35" t="s">
        <v>25</v>
      </c>
      <c r="B35" s="4">
        <f>7/12</f>
        <v>0.58333333333333337</v>
      </c>
      <c r="C35" s="4">
        <f>(B35+D35)/2</f>
        <v>1.125</v>
      </c>
      <c r="D35" s="4">
        <f>20/12</f>
        <v>1.6666666666666667</v>
      </c>
      <c r="E35" s="4"/>
      <c r="F35" s="4"/>
      <c r="G35" t="s">
        <v>67</v>
      </c>
      <c r="H35" t="s">
        <v>36</v>
      </c>
    </row>
    <row r="36" spans="1:8" x14ac:dyDescent="0.25">
      <c r="A36" t="s">
        <v>26</v>
      </c>
      <c r="B36" s="4">
        <f>1/12</f>
        <v>8.3333333333333329E-2</v>
      </c>
      <c r="C36" s="4">
        <f t="shared" ref="C36:C37" si="4">(B36+D36)/2</f>
        <v>0.125</v>
      </c>
      <c r="D36" s="4">
        <f>2/12</f>
        <v>0.16666666666666666</v>
      </c>
      <c r="E36" s="4"/>
      <c r="F36" s="4"/>
      <c r="G36" t="s">
        <v>67</v>
      </c>
      <c r="H36" t="s">
        <v>37</v>
      </c>
    </row>
    <row r="37" spans="1:8" x14ac:dyDescent="0.25">
      <c r="A37" t="s">
        <v>27</v>
      </c>
      <c r="B37" s="4">
        <f>7/12</f>
        <v>0.58333333333333337</v>
      </c>
      <c r="C37" s="4">
        <f t="shared" si="4"/>
        <v>1.2916666666666667</v>
      </c>
      <c r="D37" s="4">
        <f>24/12</f>
        <v>2</v>
      </c>
      <c r="E37" s="4"/>
      <c r="F37" s="4"/>
      <c r="G37" t="s">
        <v>67</v>
      </c>
      <c r="H37" t="s">
        <v>38</v>
      </c>
    </row>
    <row r="38" spans="1:8" x14ac:dyDescent="0.25">
      <c r="A38" t="s">
        <v>40</v>
      </c>
      <c r="B38" s="2">
        <v>1.2</v>
      </c>
      <c r="C38" s="2">
        <v>6.3</v>
      </c>
      <c r="D38" s="2">
        <v>18.3</v>
      </c>
      <c r="E38" s="2">
        <v>0</v>
      </c>
      <c r="F38" s="2"/>
      <c r="G38" t="s">
        <v>88</v>
      </c>
      <c r="H38" t="s">
        <v>55</v>
      </c>
    </row>
    <row r="39" spans="1:8" x14ac:dyDescent="0.25">
      <c r="A39" t="s">
        <v>42</v>
      </c>
      <c r="B39" s="2">
        <v>0</v>
      </c>
      <c r="C39" s="2">
        <v>0</v>
      </c>
      <c r="D39" s="2">
        <v>0</v>
      </c>
      <c r="E39" s="2"/>
      <c r="F39" s="2"/>
      <c r="G39" t="s">
        <v>67</v>
      </c>
      <c r="H39" t="s">
        <v>56</v>
      </c>
    </row>
    <row r="40" spans="1:8" x14ac:dyDescent="0.25">
      <c r="A40" t="s">
        <v>65</v>
      </c>
      <c r="B40" s="2">
        <v>0.80000000000000016</v>
      </c>
      <c r="C40" s="2">
        <v>3.1</v>
      </c>
      <c r="D40" s="2">
        <v>10.566666666666666</v>
      </c>
      <c r="E40" s="2"/>
      <c r="F40" s="2"/>
      <c r="G40" t="s">
        <v>88</v>
      </c>
      <c r="H40" t="s">
        <v>57</v>
      </c>
    </row>
    <row r="41" spans="1:8" x14ac:dyDescent="0.25">
      <c r="A41" t="s">
        <v>43</v>
      </c>
      <c r="B41" s="2">
        <v>8.1</v>
      </c>
      <c r="C41" s="2">
        <v>8.1</v>
      </c>
      <c r="D41" s="2">
        <v>8.1</v>
      </c>
      <c r="E41" s="2"/>
      <c r="F41" s="2"/>
      <c r="G41" t="s">
        <v>67</v>
      </c>
      <c r="H41" t="s">
        <v>58</v>
      </c>
    </row>
    <row r="42" spans="1:8" x14ac:dyDescent="0.25">
      <c r="A42" t="s">
        <v>44</v>
      </c>
      <c r="B42" s="2">
        <v>4</v>
      </c>
      <c r="C42" s="2">
        <v>9</v>
      </c>
      <c r="D42" s="2">
        <v>18</v>
      </c>
      <c r="E42" s="2">
        <v>1</v>
      </c>
      <c r="F42" s="2"/>
      <c r="G42" t="s">
        <v>88</v>
      </c>
      <c r="H42" t="s">
        <v>59</v>
      </c>
    </row>
    <row r="43" spans="1:8" x14ac:dyDescent="0.25">
      <c r="A43" t="s">
        <v>45</v>
      </c>
      <c r="B43" s="2">
        <v>1</v>
      </c>
      <c r="C43" s="2">
        <v>1.6</v>
      </c>
      <c r="D43" s="2">
        <v>4</v>
      </c>
      <c r="E43" s="2">
        <v>1</v>
      </c>
      <c r="F43" s="2"/>
      <c r="G43" t="s">
        <v>88</v>
      </c>
      <c r="H43" t="s">
        <v>111</v>
      </c>
    </row>
    <row r="44" spans="1:8" x14ac:dyDescent="0.25">
      <c r="A44" t="s">
        <v>46</v>
      </c>
      <c r="B44">
        <v>0.31</v>
      </c>
      <c r="C44">
        <v>31</v>
      </c>
      <c r="D44">
        <v>3100</v>
      </c>
      <c r="E44" s="2">
        <v>0</v>
      </c>
      <c r="F44" s="2"/>
      <c r="G44" t="s">
        <v>88</v>
      </c>
      <c r="H44" t="s">
        <v>112</v>
      </c>
    </row>
    <row r="45" spans="1:8" x14ac:dyDescent="0.25">
      <c r="A45" t="s">
        <v>47</v>
      </c>
      <c r="B45" s="5">
        <v>0.2</v>
      </c>
      <c r="C45" s="5">
        <v>0.35</v>
      </c>
      <c r="D45" s="5">
        <v>0.5</v>
      </c>
      <c r="E45" s="2">
        <v>0</v>
      </c>
      <c r="F45" s="2"/>
      <c r="G45" t="s">
        <v>88</v>
      </c>
      <c r="H45" t="s">
        <v>108</v>
      </c>
    </row>
    <row r="46" spans="1:8" x14ac:dyDescent="0.25">
      <c r="A46" t="s">
        <v>48</v>
      </c>
      <c r="B46" s="5">
        <v>0.6</v>
      </c>
      <c r="C46" s="5">
        <v>0.75</v>
      </c>
      <c r="D46" s="5">
        <v>0.9</v>
      </c>
      <c r="E46" s="2">
        <v>0</v>
      </c>
      <c r="F46" s="5"/>
      <c r="G46" t="s">
        <v>88</v>
      </c>
      <c r="H46" t="s">
        <v>60</v>
      </c>
    </row>
    <row r="47" spans="1:8" x14ac:dyDescent="0.25">
      <c r="A47" t="s">
        <v>49</v>
      </c>
      <c r="B47" s="5">
        <v>2</v>
      </c>
      <c r="C47" s="5">
        <v>2.25</v>
      </c>
      <c r="D47" s="5">
        <v>2.5</v>
      </c>
      <c r="E47" s="5"/>
      <c r="F47" s="5"/>
      <c r="G47" t="s">
        <v>67</v>
      </c>
      <c r="H47" t="s">
        <v>61</v>
      </c>
    </row>
    <row r="48" spans="1:8" x14ac:dyDescent="0.25">
      <c r="A48" t="s">
        <v>50</v>
      </c>
      <c r="B48" s="5">
        <v>2</v>
      </c>
      <c r="C48" s="5">
        <v>2.25</v>
      </c>
      <c r="D48" s="5">
        <v>2.5</v>
      </c>
      <c r="E48" s="5"/>
      <c r="F48" s="5"/>
      <c r="G48" t="s">
        <v>67</v>
      </c>
      <c r="H48" t="s">
        <v>62</v>
      </c>
    </row>
    <row r="49" spans="1:8" x14ac:dyDescent="0.25">
      <c r="A49" t="s">
        <v>51</v>
      </c>
      <c r="B49">
        <v>35</v>
      </c>
      <c r="C49">
        <v>45</v>
      </c>
      <c r="D49">
        <v>55</v>
      </c>
      <c r="E49" s="2">
        <v>0</v>
      </c>
      <c r="F49" s="2"/>
      <c r="G49" t="s">
        <v>88</v>
      </c>
      <c r="H49" t="s">
        <v>63</v>
      </c>
    </row>
    <row r="50" spans="1:8" x14ac:dyDescent="0.25">
      <c r="A50" t="s">
        <v>109</v>
      </c>
      <c r="B50" s="2">
        <v>1</v>
      </c>
      <c r="C50" s="2">
        <v>1</v>
      </c>
      <c r="D50" s="2">
        <v>1</v>
      </c>
      <c r="E50" s="2"/>
      <c r="F50" s="2"/>
      <c r="G50" t="s">
        <v>67</v>
      </c>
      <c r="H50" t="s">
        <v>110</v>
      </c>
    </row>
    <row r="51" spans="1:8" x14ac:dyDescent="0.25">
      <c r="A51" t="s">
        <v>52</v>
      </c>
      <c r="B51" s="5">
        <v>0.2</v>
      </c>
      <c r="C51" s="5">
        <v>0.35</v>
      </c>
      <c r="D51" s="5">
        <v>0.5</v>
      </c>
      <c r="E51" s="2">
        <v>0</v>
      </c>
      <c r="F51" s="2"/>
      <c r="G51" t="s">
        <v>88</v>
      </c>
      <c r="H51" t="s">
        <v>114</v>
      </c>
    </row>
    <row r="52" spans="1:8" x14ac:dyDescent="0.25">
      <c r="A52" t="s">
        <v>53</v>
      </c>
      <c r="B52" s="5">
        <v>0.6</v>
      </c>
      <c r="C52" s="5">
        <v>0.75</v>
      </c>
      <c r="D52" s="5">
        <v>0.9</v>
      </c>
      <c r="E52" s="2">
        <v>0</v>
      </c>
      <c r="F52" s="5"/>
      <c r="G52" t="s">
        <v>88</v>
      </c>
      <c r="H52" t="s">
        <v>84</v>
      </c>
    </row>
    <row r="53" spans="1:8" x14ac:dyDescent="0.25">
      <c r="A53" t="s">
        <v>83</v>
      </c>
      <c r="B53" s="6">
        <v>28.810793742973065</v>
      </c>
      <c r="C53" s="6">
        <v>36.86989764584402</v>
      </c>
      <c r="D53" s="6">
        <v>45</v>
      </c>
      <c r="E53" s="2">
        <v>0</v>
      </c>
      <c r="F53" s="2"/>
      <c r="G53" t="s">
        <v>88</v>
      </c>
      <c r="H53" t="s">
        <v>113</v>
      </c>
    </row>
    <row r="54" spans="1:8" x14ac:dyDescent="0.25">
      <c r="A54" t="s">
        <v>121</v>
      </c>
      <c r="B54" s="2">
        <v>1</v>
      </c>
      <c r="C54" s="2">
        <v>1</v>
      </c>
      <c r="D54" s="2">
        <v>1</v>
      </c>
      <c r="E54" s="2"/>
      <c r="F54" s="2"/>
      <c r="G54" t="s">
        <v>67</v>
      </c>
      <c r="H54" t="s">
        <v>122</v>
      </c>
    </row>
    <row r="55" spans="1:8" x14ac:dyDescent="0.25">
      <c r="A55" t="s">
        <v>123</v>
      </c>
      <c r="B55">
        <v>0</v>
      </c>
      <c r="C55">
        <v>0</v>
      </c>
      <c r="D55">
        <v>0</v>
      </c>
      <c r="E55" s="2"/>
      <c r="F55" s="2"/>
      <c r="G55" t="s">
        <v>67</v>
      </c>
      <c r="H55" t="s">
        <v>124</v>
      </c>
    </row>
  </sheetData>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4A6C1404-CBB2-46E4-A208-B5A1886B394C}">
          <x14:formula1>
            <xm:f>Intro!$A$14:$A$20</xm:f>
          </x14:formula1>
          <xm:sqref>B18</xm:sqref>
        </x14:dataValidation>
        <x14:dataValidation type="list" allowBlank="1" showInputMessage="1" showErrorMessage="1" xr:uid="{3E4B778C-4EE8-4A3A-B45B-43794020F3F2}">
          <x14:formula1>
            <xm:f>Intro!$A$13:$A$20</xm:f>
          </x14:formula1>
          <xm:sqref>G27:G55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9FDF4-C5C2-405B-8802-1B03DEB1F621}">
  <dimension ref="A1:F30"/>
  <sheetViews>
    <sheetView topLeftCell="A13" zoomScaleNormal="100" workbookViewId="0">
      <selection activeCell="G22" sqref="G22"/>
    </sheetView>
  </sheetViews>
  <sheetFormatPr defaultRowHeight="15" x14ac:dyDescent="0.25"/>
  <cols>
    <col min="1" max="1" width="15.42578125" bestFit="1" customWidth="1"/>
    <col min="2" max="2" width="13.140625" bestFit="1" customWidth="1"/>
    <col min="3" max="3" width="16.140625" bestFit="1" customWidth="1"/>
    <col min="4" max="4" width="16.5703125" bestFit="1" customWidth="1"/>
  </cols>
  <sheetData>
    <row r="1" spans="1:6" x14ac:dyDescent="0.25">
      <c r="A1" s="1" t="s">
        <v>85</v>
      </c>
      <c r="B1" s="1" t="s">
        <v>94</v>
      </c>
      <c r="C1" s="1" t="s">
        <v>93</v>
      </c>
      <c r="D1" s="3" t="s">
        <v>90</v>
      </c>
    </row>
    <row r="2" spans="1:6" x14ac:dyDescent="0.25">
      <c r="A2" t="str">
        <f>Inputs!A27</f>
        <v>D</v>
      </c>
      <c r="D2" t="str">
        <f>IF(C2="Strongly Positive",0.9,IF(C2="Weakly Positive",0.6,IF(C2="Strongly Negative",-0.9,IF(C2="Weakly Negative",-0.6,""))))</f>
        <v/>
      </c>
    </row>
    <row r="3" spans="1:6" x14ac:dyDescent="0.25">
      <c r="A3" t="str">
        <f>Inputs!A28</f>
        <v>t</v>
      </c>
      <c r="D3" t="str">
        <f t="shared" ref="D3:D28" si="0">IF(C3="Strongly Positive",0.9,IF(C3="Weakly Positive",0.6,IF(C3="Strongly Negative",-0.9,IF(C3="Weakly Negative",-0.6,""))))</f>
        <v/>
      </c>
    </row>
    <row r="4" spans="1:6" x14ac:dyDescent="0.25">
      <c r="A4" t="str">
        <f>Inputs!A29</f>
        <v>W_empty</v>
      </c>
      <c r="D4" t="str">
        <f t="shared" si="0"/>
        <v/>
      </c>
    </row>
    <row r="5" spans="1:6" x14ac:dyDescent="0.25">
      <c r="A5" t="str">
        <f>Inputs!A30</f>
        <v>W_hydro</v>
      </c>
      <c r="D5" t="str">
        <f t="shared" si="0"/>
        <v/>
      </c>
    </row>
    <row r="6" spans="1:6" x14ac:dyDescent="0.25">
      <c r="A6" t="str">
        <f>Inputs!A31</f>
        <v>W_op</v>
      </c>
      <c r="D6" t="str">
        <f t="shared" si="0"/>
        <v/>
      </c>
    </row>
    <row r="7" spans="1:6" x14ac:dyDescent="0.25">
      <c r="A7" t="str">
        <f>Inputs!A32</f>
        <v>alpha</v>
      </c>
      <c r="D7" t="str">
        <f t="shared" si="0"/>
        <v/>
      </c>
    </row>
    <row r="8" spans="1:6" x14ac:dyDescent="0.25">
      <c r="A8" t="str">
        <f>Inputs!A33</f>
        <v>EI</v>
      </c>
      <c r="D8" t="str">
        <f t="shared" si="0"/>
        <v/>
      </c>
    </row>
    <row r="9" spans="1:6" x14ac:dyDescent="0.25">
      <c r="A9" t="str">
        <f>Inputs!A34</f>
        <v>T0</v>
      </c>
      <c r="D9" t="str">
        <f t="shared" si="0"/>
        <v/>
      </c>
    </row>
    <row r="10" spans="1:6" x14ac:dyDescent="0.25">
      <c r="A10" t="str">
        <f>Inputs!A35</f>
        <v>t_aslaid</v>
      </c>
      <c r="D10" t="str">
        <f t="shared" si="0"/>
        <v/>
      </c>
    </row>
    <row r="11" spans="1:6" x14ac:dyDescent="0.25">
      <c r="A11" t="str">
        <f>Inputs!A36</f>
        <v>t_hydro</v>
      </c>
      <c r="D11" t="str">
        <f t="shared" si="0"/>
        <v/>
      </c>
    </row>
    <row r="12" spans="1:6" x14ac:dyDescent="0.25">
      <c r="A12" t="str">
        <f>Inputs!A37</f>
        <v>t_preop</v>
      </c>
      <c r="D12" t="str">
        <f t="shared" si="0"/>
        <v/>
      </c>
    </row>
    <row r="13" spans="1:6" x14ac:dyDescent="0.25">
      <c r="A13" t="str">
        <f>Inputs!A38</f>
        <v>su_mudline</v>
      </c>
      <c r="D13" t="str">
        <f t="shared" si="0"/>
        <v/>
      </c>
      <c r="F13" s="1"/>
    </row>
    <row r="14" spans="1:6" x14ac:dyDescent="0.25">
      <c r="A14" t="str">
        <f>Inputs!A39</f>
        <v>su_inv</v>
      </c>
      <c r="B14" t="s">
        <v>40</v>
      </c>
      <c r="C14" t="s">
        <v>91</v>
      </c>
      <c r="D14">
        <f t="shared" si="0"/>
        <v>0.9</v>
      </c>
    </row>
    <row r="15" spans="1:6" x14ac:dyDescent="0.25">
      <c r="A15" t="str">
        <f>Inputs!A40</f>
        <v>delta_su</v>
      </c>
      <c r="B15" t="s">
        <v>40</v>
      </c>
      <c r="C15" t="s">
        <v>91</v>
      </c>
      <c r="D15">
        <f t="shared" si="0"/>
        <v>0.9</v>
      </c>
    </row>
    <row r="16" spans="1:6" x14ac:dyDescent="0.25">
      <c r="A16" t="str">
        <f>Inputs!A41</f>
        <v>gamma_sub</v>
      </c>
    </row>
    <row r="17" spans="1:4" x14ac:dyDescent="0.25">
      <c r="A17" t="str">
        <f>Inputs!A42</f>
        <v>pipelay_St</v>
      </c>
      <c r="B17" t="s">
        <v>40</v>
      </c>
      <c r="C17" t="s">
        <v>92</v>
      </c>
      <c r="D17">
        <f t="shared" si="0"/>
        <v>-0.6</v>
      </c>
    </row>
    <row r="18" spans="1:4" x14ac:dyDescent="0.25">
      <c r="A18" t="str">
        <f>Inputs!A43</f>
        <v>lateral_St</v>
      </c>
      <c r="B18" t="s">
        <v>40</v>
      </c>
      <c r="C18" t="s">
        <v>92</v>
      </c>
      <c r="D18">
        <f t="shared" si="0"/>
        <v>-0.6</v>
      </c>
    </row>
    <row r="19" spans="1:4" x14ac:dyDescent="0.25">
      <c r="A19" t="str">
        <f>Inputs!A44</f>
        <v>cv</v>
      </c>
      <c r="D19" t="str">
        <f t="shared" si="0"/>
        <v/>
      </c>
    </row>
    <row r="20" spans="1:4" x14ac:dyDescent="0.25">
      <c r="A20" t="str">
        <f>Inputs!A45</f>
        <v>SHANSEP_S</v>
      </c>
      <c r="B20" t="s">
        <v>40</v>
      </c>
      <c r="C20" t="s">
        <v>91</v>
      </c>
      <c r="D20">
        <f t="shared" si="0"/>
        <v>0.9</v>
      </c>
    </row>
    <row r="21" spans="1:4" x14ac:dyDescent="0.25">
      <c r="A21" t="str">
        <f>Inputs!A46</f>
        <v>SHANSEP_m</v>
      </c>
      <c r="B21" t="s">
        <v>47</v>
      </c>
      <c r="C21" t="s">
        <v>91</v>
      </c>
      <c r="D21">
        <f>IF(C21="Strongly Positive",0.9,IF(C21="Weakly Positive",0.6,IF(C21="Strongly Negative",-0.9,IF(C21="Weakly Negative",-0.6,""))))</f>
        <v>0.9</v>
      </c>
    </row>
    <row r="22" spans="1:4" x14ac:dyDescent="0.25">
      <c r="A22" t="str">
        <f>Inputs!A47</f>
        <v>ka</v>
      </c>
      <c r="D22" t="str">
        <f t="shared" si="0"/>
        <v/>
      </c>
    </row>
    <row r="23" spans="1:4" x14ac:dyDescent="0.25">
      <c r="A23" t="str">
        <f>Inputs!A48</f>
        <v>kp</v>
      </c>
      <c r="D23" t="str">
        <f t="shared" si="0"/>
        <v/>
      </c>
    </row>
    <row r="24" spans="1:4" x14ac:dyDescent="0.25">
      <c r="A24" t="str">
        <f>Inputs!A49</f>
        <v>phi</v>
      </c>
      <c r="B24" t="s">
        <v>40</v>
      </c>
      <c r="C24" t="s">
        <v>91</v>
      </c>
      <c r="D24">
        <f t="shared" si="0"/>
        <v>0.9</v>
      </c>
    </row>
    <row r="25" spans="1:4" x14ac:dyDescent="0.25">
      <c r="A25" t="s">
        <v>109</v>
      </c>
    </row>
    <row r="26" spans="1:4" x14ac:dyDescent="0.25">
      <c r="A26" t="str">
        <f>Inputs!A51</f>
        <v>int_SHANSEP_S</v>
      </c>
      <c r="B26" t="s">
        <v>47</v>
      </c>
      <c r="C26" t="s">
        <v>91</v>
      </c>
      <c r="D26">
        <f t="shared" si="0"/>
        <v>0.9</v>
      </c>
    </row>
    <row r="27" spans="1:4" x14ac:dyDescent="0.25">
      <c r="A27" t="str">
        <f>Inputs!A52</f>
        <v>int_SHANSEP_m</v>
      </c>
      <c r="B27" t="s">
        <v>48</v>
      </c>
      <c r="C27" t="s">
        <v>91</v>
      </c>
      <c r="D27">
        <f t="shared" si="0"/>
        <v>0.9</v>
      </c>
    </row>
    <row r="28" spans="1:4" x14ac:dyDescent="0.25">
      <c r="A28" t="str">
        <f>Inputs!A53</f>
        <v>delta</v>
      </c>
      <c r="B28" t="s">
        <v>51</v>
      </c>
      <c r="C28" t="s">
        <v>91</v>
      </c>
      <c r="D28">
        <f t="shared" si="0"/>
        <v>0.9</v>
      </c>
    </row>
    <row r="29" spans="1:4" x14ac:dyDescent="0.25">
      <c r="A29" t="s">
        <v>121</v>
      </c>
    </row>
    <row r="30" spans="1:4" x14ac:dyDescent="0.25">
      <c r="A30" t="s">
        <v>123</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dd609fa0e79f428b8be5bd7c262db665 xmlns="6c11d3f3-82fc-4e40-8a93-2e21c8f28468">
      <Terms xmlns="http://schemas.microsoft.com/office/infopath/2007/PartnerControls">
        <TermInfo xmlns="http://schemas.microsoft.com/office/infopath/2007/PartnerControls">
          <TermName xmlns="http://schemas.microsoft.com/office/infopath/2007/PartnerControls">AUAll</TermName>
          <TermId xmlns="http://schemas.microsoft.com/office/infopath/2007/PartnerControls">41aa2a25-5c60-499f-893b-5accce0b8d67</TermId>
        </TermInfo>
      </Terms>
    </dd609fa0e79f428b8be5bd7c262db665>
    <n96f07d867ae46bb9b9ddb2ab94437e7 xmlns="6c11d3f3-82fc-4e40-8a93-2e21c8f28468">
      <Terms xmlns="http://schemas.microsoft.com/office/infopath/2007/PartnerControls"/>
    </n96f07d867ae46bb9b9ddb2ab94437e7>
    <d614e634f17a4c599b8c1a279514ad68 xmlns="6c11d3f3-82fc-4e40-8a93-2e21c8f28468">
      <Terms xmlns="http://schemas.microsoft.com/office/infopath/2007/PartnerControls">
        <TermInfo xmlns="http://schemas.microsoft.com/office/infopath/2007/PartnerControls">
          <TermName xmlns="http://schemas.microsoft.com/office/infopath/2007/PartnerControls">McDermott Australia Pty Ltd</TermName>
          <TermId xmlns="http://schemas.microsoft.com/office/infopath/2007/PartnerControls">eb2c0b8a-4b8e-43a6-89be-e708d61d97ec</TermId>
        </TermInfo>
      </Terms>
    </d614e634f17a4c599b8c1a279514ad68>
    <TaxCatchAll xmlns="6c11d3f3-82fc-4e40-8a93-2e21c8f28468">
      <Value>2</Value>
      <Value>1</Value>
    </TaxCatchAll>
    <Project_Number xmlns="6c11d3f3-82fc-4e40-8a93-2e21c8f28468">PP225239</Project_Number>
    <Description_Text xmlns="6c11d3f3-82fc-4e40-8a93-2e21c8f28468" xsi:nil="true"/>
    <lcf76f155ced4ddcb4097134ff3c332f xmlns="4e220a56-d3b2-4589-af31-5a65ee7747b2">
      <Terms xmlns="http://schemas.microsoft.com/office/infopath/2007/PartnerControls"/>
    </lcf76f155ced4ddcb4097134ff3c332f>
    <ibfdedd82e874ec681c8e9b59a6c6738 xmlns="6c11d3f3-82fc-4e40-8a93-2e21c8f28468">
      <Terms xmlns="http://schemas.microsoft.com/office/infopath/2007/PartnerControls"/>
    </ibfdedd82e874ec681c8e9b59a6c6738>
    <Document_Owner xmlns="6c11d3f3-82fc-4e40-8a93-2e21c8f28468">
      <UserInfo>
        <DisplayName/>
        <AccountId xsi:nil="true"/>
        <AccountType/>
      </UserInfo>
    </Document_Owner>
    <Project_Name xmlns="6c11d3f3-82fc-4e40-8a93-2e21c8f28468">Ichthys Phase 2c - FEED Geotechnical Support</Project_Name>
  </documentManagement>
</p:properties>
</file>

<file path=customXml/item3.xml><?xml version="1.0" encoding="utf-8"?>
<ct:contentTypeSchema xmlns:ct="http://schemas.microsoft.com/office/2006/metadata/contentType" xmlns:ma="http://schemas.microsoft.com/office/2006/metadata/properties/metaAttributes" ct:_="" ma:_="" ma:contentTypeName="Project Document" ma:contentTypeID="0x010100099E8375D3CC4442B0AC7CDD0EA372A3010100729969588BA41741B6CB778883289BB7" ma:contentTypeVersion="20" ma:contentTypeDescription="Create a new document." ma:contentTypeScope="" ma:versionID="6677b0c8aec218864df1a8bfa9e4e763">
  <xsd:schema xmlns:xsd="http://www.w3.org/2001/XMLSchema" xmlns:xs="http://www.w3.org/2001/XMLSchema" xmlns:p="http://schemas.microsoft.com/office/2006/metadata/properties" xmlns:ns3="6c11d3f3-82fc-4e40-8a93-2e21c8f28468" xmlns:ns4="4e220a56-d3b2-4589-af31-5a65ee7747b2" targetNamespace="http://schemas.microsoft.com/office/2006/metadata/properties" ma:root="true" ma:fieldsID="7b4cf6301f148043f0ec8279cb7d228e" ns3:_="" ns4:_="">
    <xsd:import namespace="6c11d3f3-82fc-4e40-8a93-2e21c8f28468"/>
    <xsd:import namespace="4e220a56-d3b2-4589-af31-5a65ee7747b2"/>
    <xsd:element name="properties">
      <xsd:complexType>
        <xsd:sequence>
          <xsd:element name="documentManagement">
            <xsd:complexType>
              <xsd:all>
                <xsd:element ref="ns3:Description_Text" minOccurs="0"/>
                <xsd:element ref="ns3:n96f07d867ae46bb9b9ddb2ab94437e7" minOccurs="0"/>
                <xsd:element ref="ns3:TaxCatchAll" minOccurs="0"/>
                <xsd:element ref="ns3:TaxCatchAllLabel" minOccurs="0"/>
                <xsd:element ref="ns3:ibfdedd82e874ec681c8e9b59a6c6738" minOccurs="0"/>
                <xsd:element ref="ns3:Document_Owner" minOccurs="0"/>
                <xsd:element ref="ns3:dd609fa0e79f428b8be5bd7c262db665" minOccurs="0"/>
                <xsd:element ref="ns3:Project_Number"/>
                <xsd:element ref="ns3:Project_Name"/>
                <xsd:element ref="ns3:d614e634f17a4c599b8c1a279514ad68" minOccurs="0"/>
                <xsd:element ref="ns4:MediaServiceMetadata" minOccurs="0"/>
                <xsd:element ref="ns4:MediaServiceFastMetadata" minOccurs="0"/>
                <xsd:element ref="ns4:MediaServiceSearchProperties" minOccurs="0"/>
                <xsd:element ref="ns4:MediaServiceDateTaken" minOccurs="0"/>
                <xsd:element ref="ns4:MediaServiceGenerationTime" minOccurs="0"/>
                <xsd:element ref="ns4:MediaServiceEventHashCode" minOccurs="0"/>
                <xsd:element ref="ns4:lcf76f155ced4ddcb4097134ff3c332f" minOccurs="0"/>
                <xsd:element ref="ns4:MediaServiceOCR"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c11d3f3-82fc-4e40-8a93-2e21c8f28468" elementFormDefault="qualified">
    <xsd:import namespace="http://schemas.microsoft.com/office/2006/documentManagement/types"/>
    <xsd:import namespace="http://schemas.microsoft.com/office/infopath/2007/PartnerControls"/>
    <xsd:element name="Description_Text" ma:index="9" nillable="true" ma:displayName="Description" ma:internalName="Description_Text">
      <xsd:simpleType>
        <xsd:restriction base="dms:Note">
          <xsd:maxLength value="255"/>
        </xsd:restriction>
      </xsd:simpleType>
    </xsd:element>
    <xsd:element name="n96f07d867ae46bb9b9ddb2ab94437e7" ma:index="10" nillable="true" ma:taxonomy="true" ma:internalName="n96f07d867ae46bb9b9ddb2ab94437e7" ma:taxonomyFieldName="Document_Type" ma:displayName="Document Type" ma:default="" ma:fieldId="{796f07d8-67ae-46bb-9b9d-db2ab94437e7}" ma:sspId="b5d298e1-810f-4711-8be9-ef4702f2a38a" ma:termSetId="500aeee1-c584-4788-ac32-e7a278bb6e1d" ma:anchorId="00000000-0000-0000-0000-000000000000" ma:open="false" ma:isKeyword="false">
      <xsd:complexType>
        <xsd:sequence>
          <xsd:element ref="pc:Terms" minOccurs="0" maxOccurs="1"/>
        </xsd:sequence>
      </xsd:complexType>
    </xsd:element>
    <xsd:element name="TaxCatchAll" ma:index="11" nillable="true" ma:displayName="Taxonomy Catch All Column" ma:hidden="true" ma:list="{72d4a269-883c-41c1-ba39-7f0fa1cfd315}" ma:internalName="TaxCatchAll" ma:showField="CatchAllData" ma:web="6c11d3f3-82fc-4e40-8a93-2e21c8f28468">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72d4a269-883c-41c1-ba39-7f0fa1cfd315}" ma:internalName="TaxCatchAllLabel" ma:readOnly="true" ma:showField="CatchAllDataLabel" ma:web="6c11d3f3-82fc-4e40-8a93-2e21c8f28468">
      <xsd:complexType>
        <xsd:complexContent>
          <xsd:extension base="dms:MultiChoiceLookup">
            <xsd:sequence>
              <xsd:element name="Value" type="dms:Lookup" maxOccurs="unbounded" minOccurs="0" nillable="true"/>
            </xsd:sequence>
          </xsd:extension>
        </xsd:complexContent>
      </xsd:complexType>
    </xsd:element>
    <xsd:element name="ibfdedd82e874ec681c8e9b59a6c6738" ma:index="14" nillable="true" ma:taxonomy="true" ma:internalName="ibfdedd82e874ec681c8e9b59a6c6738" ma:taxonomyFieldName="Document_Status" ma:displayName="Document Status" ma:default="" ma:fieldId="{2bfdedd8-2e87-4ec6-81c8-e9b59a6c6738}" ma:sspId="b5d298e1-810f-4711-8be9-ef4702f2a38a" ma:termSetId="b5232223-cec1-4c3e-98a9-76d0f0c8f29f" ma:anchorId="00000000-0000-0000-0000-000000000000" ma:open="false" ma:isKeyword="false">
      <xsd:complexType>
        <xsd:sequence>
          <xsd:element ref="pc:Terms" minOccurs="0" maxOccurs="1"/>
        </xsd:sequence>
      </xsd:complexType>
    </xsd:element>
    <xsd:element name="Document_Owner" ma:index="16" nillable="true" ma:displayName="Document Owner" ma:description="Opus person who is responsible of the document" ma:SharePointGroup="0" ma:internalName="Document_Owne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d609fa0e79f428b8be5bd7c262db665" ma:index="17" ma:taxonomy="true" ma:internalName="dd609fa0e79f428b8be5bd7c262db665" ma:taxonomyFieldName="Opus_Office" ma:displayName="WSP Office" ma:default="1;#AUAll|41aa2a25-5c60-499f-893b-5accce0b8d67" ma:fieldId="{dd609fa0-e79f-428b-8be5-bd7c262db665}" ma:sspId="b5d298e1-810f-4711-8be9-ef4702f2a38a" ma:termSetId="2b6e1a64-5a0e-4f9c-992d-b10740411336" ma:anchorId="00000000-0000-0000-0000-000000000000" ma:open="false" ma:isKeyword="false">
      <xsd:complexType>
        <xsd:sequence>
          <xsd:element ref="pc:Terms" minOccurs="0" maxOccurs="1"/>
        </xsd:sequence>
      </xsd:complexType>
    </xsd:element>
    <xsd:element name="Project_Number" ma:index="19" ma:displayName="Project Number" ma:default="PP225239" ma:description="Please enter the Project Number from Vision.  The format is X-XXXXX.XX" ma:indexed="true" ma:internalName="Project_Number">
      <xsd:simpleType>
        <xsd:restriction base="dms:Text">
          <xsd:maxLength value="10"/>
        </xsd:restriction>
      </xsd:simpleType>
    </xsd:element>
    <xsd:element name="Project_Name" ma:index="20" ma:displayName="Project Name" ma:default="Ichthys Phase 2c - FEED Geotechnical Support" ma:internalName="Project_Name">
      <xsd:simpleType>
        <xsd:restriction base="dms:Text">
          <xsd:maxLength value="255"/>
        </xsd:restriction>
      </xsd:simpleType>
    </xsd:element>
    <xsd:element name="d614e634f17a4c599b8c1a279514ad68" ma:index="21" nillable="true" ma:taxonomy="true" ma:internalName="d614e634f17a4c599b8c1a279514ad68" ma:taxonomyFieldName="Client_Name" ma:displayName="Client Name" ma:default="2;#McDermott Australia Pty Ltd|eb2c0b8a-4b8e-43a6-89be-e708d61d97ec" ma:fieldId="{d614e634-f17a-4c59-9b8c-1a279514ad68}" ma:taxonomyMulti="true" ma:sspId="b5d298e1-810f-4711-8be9-ef4702f2a38a" ma:termSetId="9a5d8689-3bed-4c7e-bfab-aaf4ffaa9dae"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e220a56-d3b2-4589-af31-5a65ee7747b2" elementFormDefault="qualified">
    <xsd:import namespace="http://schemas.microsoft.com/office/2006/documentManagement/types"/>
    <xsd:import namespace="http://schemas.microsoft.com/office/infopath/2007/PartnerControls"/>
    <xsd:element name="MediaServiceMetadata" ma:index="23" nillable="true" ma:displayName="MediaServiceMetadata" ma:hidden="true" ma:internalName="MediaServiceMetadata" ma:readOnly="true">
      <xsd:simpleType>
        <xsd:restriction base="dms:Note"/>
      </xsd:simpleType>
    </xsd:element>
    <xsd:element name="MediaServiceFastMetadata" ma:index="24" nillable="true" ma:displayName="MediaServiceFastMetadata" ma:hidden="true" ma:internalName="MediaServiceFastMetadata"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DateTaken" ma:index="26" nillable="true" ma:displayName="MediaServiceDateTaken" ma:hidden="true" ma:indexed="true" ma:internalName="MediaServiceDateTaken" ma:readOnly="true">
      <xsd:simpleType>
        <xsd:restriction base="dms:Text"/>
      </xsd:simpleType>
    </xsd:element>
    <xsd:element name="MediaServiceGenerationTime" ma:index="27" nillable="true" ma:displayName="MediaServiceGenerationTime" ma:hidden="true" ma:internalName="MediaServiceGenerationTime" ma:readOnly="true">
      <xsd:simpleType>
        <xsd:restriction base="dms:Text"/>
      </xsd:simpleType>
    </xsd:element>
    <xsd:element name="MediaServiceEventHashCode" ma:index="28" nillable="true" ma:displayName="MediaServiceEventHashCode" ma:hidden="true" ma:internalName="MediaServiceEventHashCode" ma:readOnly="true">
      <xsd:simpleType>
        <xsd:restriction base="dms:Text"/>
      </xsd:simpleType>
    </xsd:element>
    <xsd:element name="lcf76f155ced4ddcb4097134ff3c332f" ma:index="30" nillable="true" ma:taxonomy="true" ma:internalName="lcf76f155ced4ddcb4097134ff3c332f" ma:taxonomyFieldName="MediaServiceImageTags" ma:displayName="Image Tags" ma:readOnly="false" ma:fieldId="{5cf76f15-5ced-4ddc-b409-7134ff3c332f}" ma:taxonomyMulti="true" ma:sspId="b5d298e1-810f-4711-8be9-ef4702f2a38a" ma:termSetId="09814cd3-568e-fe90-9814-8d621ff8fb84" ma:anchorId="fba54fb3-c3e1-fe81-a776-ca4b69148c4d" ma:open="true" ma:isKeyword="false">
      <xsd:complexType>
        <xsd:sequence>
          <xsd:element ref="pc:Terms" minOccurs="0" maxOccurs="1"/>
        </xsd:sequence>
      </xsd:complexType>
    </xsd:element>
    <xsd:element name="MediaServiceOCR" ma:index="31" nillable="true" ma:displayName="Extracted Text" ma:internalName="MediaServiceOCR" ma:readOnly="true">
      <xsd:simpleType>
        <xsd:restriction base="dms:Note">
          <xsd:maxLength value="255"/>
        </xsd:restriction>
      </xsd:simpleType>
    </xsd:element>
    <xsd:element name="MediaLengthInSeconds" ma:index="32"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8" ma:displayName="Author"/>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9BC92CE-9DB2-4892-9A44-D9A0E80891F9}">
  <ds:schemaRefs>
    <ds:schemaRef ds:uri="http://schemas.microsoft.com/sharepoint/v3/contenttype/forms"/>
  </ds:schemaRefs>
</ds:datastoreItem>
</file>

<file path=customXml/itemProps2.xml><?xml version="1.0" encoding="utf-8"?>
<ds:datastoreItem xmlns:ds="http://schemas.openxmlformats.org/officeDocument/2006/customXml" ds:itemID="{EF31063E-B14C-4A23-BE4C-B76DA8A13890}">
  <ds:schemaRefs>
    <ds:schemaRef ds:uri="http://schemas.microsoft.com/office/2006/metadata/properties"/>
    <ds:schemaRef ds:uri="http://schemas.microsoft.com/office/infopath/2007/PartnerControls"/>
    <ds:schemaRef ds:uri="6c11d3f3-82fc-4e40-8a93-2e21c8f28468"/>
    <ds:schemaRef ds:uri="4e220a56-d3b2-4589-af31-5a65ee7747b2"/>
  </ds:schemaRefs>
</ds:datastoreItem>
</file>

<file path=customXml/itemProps3.xml><?xml version="1.0" encoding="utf-8"?>
<ds:datastoreItem xmlns:ds="http://schemas.openxmlformats.org/officeDocument/2006/customXml" ds:itemID="{E6AE4B48-285E-4D8F-A611-8826EED28E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c11d3f3-82fc-4e40-8a93-2e21c8f28468"/>
    <ds:schemaRef ds:uri="4e220a56-d3b2-4589-af31-5a65ee7747b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9096ad9-8b60-446a-90b7-017dbb9421a3}" enabled="1" method="Standard" siteId="{3d234255-e20f-4205-88a5-9658a402999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Intro</vt:lpstr>
      <vt:lpstr>Inputs</vt:lpstr>
      <vt:lpstr>Correlations</vt:lpstr>
    </vt:vector>
  </TitlesOfParts>
  <Company>WSP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Sarah</dc:creator>
  <cp:lastModifiedBy>Martin, Sarah</cp:lastModifiedBy>
  <dcterms:created xsi:type="dcterms:W3CDTF">2023-11-10T05:04:11Z</dcterms:created>
  <dcterms:modified xsi:type="dcterms:W3CDTF">2026-06-05T05:13:39Z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0x010100099E8375D3CC4442B0AC7CDD0EA372A3010100729969588BA41741B6CB778883289BB7</vt:lpwstr>
  </property>
  <property fmtid="{D5CDD505-2E9C-101B-9397-08002B2CF9AE}" pid="3" name="Opus_Office">
    <vt:lpwstr>1;#AUAll|41aa2a25-5c60-499f-893b-5accce0b8d67</vt:lpwstr>
  </property>
  <property fmtid="{D5CDD505-2E9C-101B-9397-08002B2CF9AE}" pid="4" name="MediaServiceImageTags">
    <vt:lpwstr/>
  </property>
  <property fmtid="{D5CDD505-2E9C-101B-9397-08002B2CF9AE}" pid="5" name="Document_Type">
    <vt:lpwstr/>
  </property>
  <property fmtid="{D5CDD505-2E9C-101B-9397-08002B2CF9AE}" pid="6" name="Document_Status">
    <vt:lpwstr/>
  </property>
  <property fmtid="{D5CDD505-2E9C-101B-9397-08002B2CF9AE}" pid="7" name="Client_Name">
    <vt:lpwstr>2;#McDermott Australia Pty Ltd|eb2c0b8a-4b8e-43a6-89be-e708d61d97ec</vt:lpwstr>
  </property>
</Properties>
</file>